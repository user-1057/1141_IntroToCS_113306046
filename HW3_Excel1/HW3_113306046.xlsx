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k2000/Downloads/"/>
    </mc:Choice>
  </mc:AlternateContent>
  <xr:revisionPtr revIDLastSave="0" documentId="13_ncr:1_{CEF40089-E5E3-5244-B2F5-F8828E180F63}" xr6:coauthVersionLast="47" xr6:coauthVersionMax="47" xr10:uidLastSave="{00000000-0000-0000-0000-000000000000}"/>
  <bookViews>
    <workbookView xWindow="360" yWindow="1640" windowWidth="23260" windowHeight="1246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J3" i="1"/>
  <c r="J4" i="1"/>
  <c r="J5" i="1"/>
  <c r="J6" i="1"/>
  <c r="J7" i="1"/>
  <c r="J8" i="1"/>
  <c r="J9" i="1"/>
  <c r="J10" i="1"/>
  <c r="J11" i="1"/>
  <c r="K11" i="1" s="1" a="1"/>
  <c r="K11" i="1" s="1"/>
  <c r="J12" i="1"/>
  <c r="K12" i="1" s="1" a="1"/>
  <c r="K12" i="1" s="1"/>
  <c r="J13" i="1"/>
  <c r="J14" i="1"/>
  <c r="J15" i="1"/>
  <c r="J2" i="1"/>
  <c r="D17" i="1"/>
  <c r="C17" i="1"/>
  <c r="K15" i="1" a="1"/>
  <c r="K15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3" i="1" a="1"/>
  <c r="K13" i="1" s="1"/>
  <c r="K14" i="1" a="1"/>
  <c r="K14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J17" i="1" l="1"/>
  <c r="K2" i="1" a="1"/>
  <c r="K2" i="1" s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<sst xmlns="http://schemas.openxmlformats.org/spreadsheetml/2006/main" count="34" uniqueCount="34">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</sst>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 score</a:t>
            </a:r>
          </a:p>
        </c:rich>
      </c:tx>
      <c:layout>
        <c:manualLayout>
          <c:xMode val="edge"/>
          <c:yMode val="edge"/>
          <c:x val="0.381770778652668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D-7A4B-8E20-FD67CFCF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397695"/>
        <c:axId val="914810975"/>
      </c:barChart>
      <c:catAx>
        <c:axId val="9153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4810975"/>
        <c:crosses val="autoZero"/>
        <c:auto val="1"/>
        <c:lblAlgn val="ctr"/>
        <c:lblOffset val="100"/>
        <c:noMultiLvlLbl val="0"/>
      </c:catAx>
      <c:valAx>
        <c:axId val="9148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53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overall</a:t>
            </a:r>
            <a:r>
              <a:rPr lang="en-US" altLang="zh-TW" baseline="0"/>
              <a:t> score</a:t>
            </a:r>
            <a:r>
              <a:rPr lang="zh-TW" altLang="en-US" baseline="0"/>
              <a:t>全班及格狀況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工作表1!$N$3:$N$4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工作表1!$O$3:$O$4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B-1D44-AFDA-6DDA4C19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24</xdr:row>
      <xdr:rowOff>88900</xdr:rowOff>
    </xdr:from>
    <xdr:to>
      <xdr:col>10</xdr:col>
      <xdr:colOff>1778000</xdr:colOff>
      <xdr:row>38</xdr:row>
      <xdr:rowOff>165100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4BD8C4B-5BEE-B73A-B62B-EF84735CB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469900</xdr:colOff>
      <xdr:row>16</xdr:row>
      <xdr:rowOff>165100</xdr:rowOff>
    </xdr:from>
    <xdr:to>
      <xdr:col>16</xdr:col>
      <xdr:colOff>596900</xdr:colOff>
      <xdr:row>31</xdr:row>
      <xdr:rowOff>38100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DD49C13-AF95-D3E4-E4EB-4A4893DD2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O24"/>
  <sheetViews>
    <sheetView tabSelected="1" topLeftCell="D1" workbookViewId="0">
      <selection activeCell="M9" sqref="M9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5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1">
        <f>SUM(C2:G2)*0.1+SUM(I2)*0.5</f>
        <v>91.7</v>
      </c>
      <c r="K2" t="str" cm="1">
        <f t="array" ref="K2">_xlfn.IFS(J2&gt;=90,"A",J2&gt;=80,"B",J2&gt;=70,"C",J2&gt;=60,"D",J2&lt;60,"F")</f>
        <v>A</v>
      </c>
      <c r="L2" t="str">
        <f>IF(J2&lt;60,"fail","pass")</f>
        <v>pass</v>
      </c>
    </row>
    <row r="3" spans="1:15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1">
        <f t="shared" ref="J3:J15" si="1">SUM(C3:G3)*0.1+SUM(I3)*0.5</f>
        <v>90</v>
      </c>
      <c r="K3" t="str" cm="1">
        <f t="array" ref="K3">_xlfn.IFS(J3&gt;=90,"A",J3&gt;=80,"B",J3&gt;=70,"C",J3&gt;=60,"D",J3&lt;60,"F")</f>
        <v>A</v>
      </c>
      <c r="L3" t="str">
        <f t="shared" ref="L3:L15" si="2">IF(J3&lt;60,"fail","pass")</f>
        <v>pass</v>
      </c>
      <c r="N3" t="s">
        <v>32</v>
      </c>
      <c r="O3">
        <v>12</v>
      </c>
    </row>
    <row r="4" spans="1:15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1">
        <f t="shared" si="1"/>
        <v>81.2</v>
      </c>
      <c r="K4" t="str" cm="1">
        <f t="array" ref="K4">_xlfn.IFS(J4&gt;=90,"A",J4&gt;=80,"B",J4&gt;=70,"C",J4&gt;=60,"D",J4&lt;60,"F")</f>
        <v>B</v>
      </c>
      <c r="L4" t="str">
        <f t="shared" si="2"/>
        <v>pass</v>
      </c>
      <c r="N4" t="s">
        <v>33</v>
      </c>
      <c r="O4">
        <v>2</v>
      </c>
    </row>
    <row r="5" spans="1:15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1">
        <f t="shared" si="1"/>
        <v>80.800000000000011</v>
      </c>
      <c r="K5" t="str" cm="1">
        <f t="array" ref="K5">_xlfn.IFS(J5&gt;=90,"A",J5&gt;=80,"B",J5&gt;=70,"C",J5&gt;=60,"D",J5&lt;60,"F")</f>
        <v>B</v>
      </c>
      <c r="L5" t="str">
        <f t="shared" si="2"/>
        <v>pass</v>
      </c>
    </row>
    <row r="6" spans="1:15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1">
        <f t="shared" si="1"/>
        <v>84.7</v>
      </c>
      <c r="K6" t="str" cm="1">
        <f t="array" ref="K6">_xlfn.IFS(J6&gt;=90,"A",J6&gt;=80,"B",J6&gt;=70,"C",J6&gt;=60,"D",J6&lt;60,"F")</f>
        <v>B</v>
      </c>
      <c r="L6" t="str">
        <f t="shared" si="2"/>
        <v>pass</v>
      </c>
    </row>
    <row r="7" spans="1:15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1">
        <f t="shared" si="1"/>
        <v>80.800000000000011</v>
      </c>
      <c r="K7" t="str" cm="1">
        <f t="array" ref="K7">_xlfn.IFS(J7&gt;=90,"A",J7&gt;=80,"B",J7&gt;=70,"C",J7&gt;=60,"D",J7&lt;60,"F")</f>
        <v>B</v>
      </c>
      <c r="L7" t="str">
        <f t="shared" si="2"/>
        <v>pass</v>
      </c>
    </row>
    <row r="8" spans="1:15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1">
        <f t="shared" si="1"/>
        <v>77.900000000000006</v>
      </c>
      <c r="K8" t="str" cm="1">
        <f t="array" ref="K8">_xlfn.IFS(J8&gt;=90,"A",J8&gt;=80,"B",J8&gt;=70,"C",J8&gt;=60,"D",J8&lt;60,"F")</f>
        <v>C</v>
      </c>
      <c r="L8" t="str">
        <f t="shared" si="2"/>
        <v>pass</v>
      </c>
    </row>
    <row r="9" spans="1:15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1">
        <f t="shared" si="1"/>
        <v>74.2</v>
      </c>
      <c r="K9" t="str" cm="1">
        <f t="array" ref="K9">_xlfn.IFS(J9&gt;=90,"A",J9&gt;=80,"B",J9&gt;=70,"C",J9&gt;=60,"D",J9&lt;60,"F")</f>
        <v>C</v>
      </c>
      <c r="L9" t="str">
        <f t="shared" si="2"/>
        <v>pass</v>
      </c>
    </row>
    <row r="10" spans="1:15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1">
        <f t="shared" si="1"/>
        <v>75.2</v>
      </c>
      <c r="K10" t="str" cm="1">
        <f t="array" ref="K10">_xlfn.IFS(J10&gt;=90,"A",J10&gt;=80,"B",J10&gt;=70,"C",J10&gt;=60,"D",J10&lt;60,"F")</f>
        <v>C</v>
      </c>
      <c r="L10" t="str">
        <f t="shared" si="2"/>
        <v>pass</v>
      </c>
    </row>
    <row r="11" spans="1:15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1">
        <f t="shared" si="1"/>
        <v>77.599999999999994</v>
      </c>
      <c r="K11" t="str" cm="1">
        <f t="array" ref="K11">_xlfn.IFS(J11&gt;=90,"A",J11&gt;=80,"B",J11&gt;=70,"C",J11&gt;=60,"D",J11&lt;60,"F")</f>
        <v>C</v>
      </c>
      <c r="L11" t="str">
        <f t="shared" si="2"/>
        <v>pass</v>
      </c>
    </row>
    <row r="12" spans="1:15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1">
        <f t="shared" si="1"/>
        <v>80.599999999999994</v>
      </c>
      <c r="K12" t="str" cm="1">
        <f t="array" ref="K12">_xlfn.IFS(J12&gt;=90,"A",J12&gt;=80,"B",J12&gt;=70,"C",J12&gt;=60,"D",J12&lt;60,"F")</f>
        <v>B</v>
      </c>
      <c r="L12" t="str">
        <f t="shared" si="2"/>
        <v>pass</v>
      </c>
    </row>
    <row r="13" spans="1:15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1">
        <f t="shared" si="1"/>
        <v>59</v>
      </c>
      <c r="K13" t="str" cm="1">
        <f t="array" ref="K13">_xlfn.IFS(J13&gt;=90,"A",J13&gt;=80,"B",J13&gt;=70,"C",J13&gt;=60,"D",J13&lt;60,"F")</f>
        <v>F</v>
      </c>
      <c r="L13" t="str">
        <f t="shared" si="2"/>
        <v>fail</v>
      </c>
    </row>
    <row r="14" spans="1:15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1">
        <f t="shared" si="1"/>
        <v>66.900000000000006</v>
      </c>
      <c r="K14" t="str" cm="1">
        <f t="array" ref="K14">_xlfn.IFS(J14&gt;=90,"A",J14&gt;=80,"B",J14&gt;=70,"C",J14&gt;=60,"D",J14&lt;60,"F")</f>
        <v>D</v>
      </c>
      <c r="L14" t="str">
        <f t="shared" si="2"/>
        <v>pass</v>
      </c>
    </row>
    <row r="15" spans="1:15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1">
        <f t="shared" si="1"/>
        <v>55.6</v>
      </c>
      <c r="K15" t="str" cm="1">
        <f t="array" ref="K15">_xlfn.IFS(J15&gt;=90,"A",J15&gt;=80,"B",J15&gt;=70,"C",J15&gt;=60,"D",J15&lt;60,"F")</f>
        <v>F</v>
      </c>
      <c r="L15" t="str">
        <f t="shared" si="2"/>
        <v>fail</v>
      </c>
    </row>
    <row r="16" spans="1:15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>
        <f>LARGE(C2:C15,1)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</row>
    <row r="24" spans="3:10" ht="16">
      <c r="J24" s="4" t="s">
        <v>30</v>
      </c>
    </row>
  </sheetData>
  <phoneticPr fontId="2" type="noConversion"/>
  <conditionalFormatting sqref="L2:L15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user</cp:lastModifiedBy>
  <dcterms:created xsi:type="dcterms:W3CDTF">2023-10-19T05:27:10Z</dcterms:created>
  <dcterms:modified xsi:type="dcterms:W3CDTF">2025-11-05T08:57:56Z</dcterms:modified>
</cp:coreProperties>
</file>